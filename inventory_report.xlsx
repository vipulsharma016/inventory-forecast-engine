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ventory_arima\"/>
    </mc:Choice>
  </mc:AlternateContent>
  <xr:revisionPtr revIDLastSave="0" documentId="13_ncr:1_{24E9661D-0FD1-44DD-8DC3-56FA420D15A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rical Sales" sheetId="3" r:id="rId1"/>
    <sheet name="Inventory Status" sheetId="1" r:id="rId2"/>
    <sheet name="Demand Forecast" sheetId="2" r:id="rId3"/>
  </sheets>
  <calcPr calcId="191029"/>
</workbook>
</file>

<file path=xl/calcChain.xml><?xml version="1.0" encoding="utf-8"?>
<calcChain xmlns="http://schemas.openxmlformats.org/spreadsheetml/2006/main">
  <c r="K2" i="2" l="1"/>
  <c r="L2" i="2"/>
  <c r="M3" i="2"/>
  <c r="M4" i="2"/>
  <c r="M5" i="2"/>
  <c r="M6" i="2"/>
  <c r="M7" i="2"/>
  <c r="M8" i="2"/>
  <c r="M9" i="2"/>
  <c r="M10" i="2"/>
  <c r="M11" i="2"/>
  <c r="M2" i="2"/>
  <c r="P3" i="2"/>
  <c r="P4" i="2"/>
  <c r="P5" i="2"/>
  <c r="P6" i="2"/>
  <c r="P7" i="2"/>
  <c r="P8" i="2"/>
  <c r="P9" i="2"/>
  <c r="P10" i="2"/>
  <c r="P11" i="2"/>
  <c r="P2" i="2"/>
  <c r="O3" i="2"/>
  <c r="O4" i="2"/>
  <c r="O5" i="2"/>
  <c r="O6" i="2"/>
  <c r="O7" i="2"/>
  <c r="O8" i="2"/>
  <c r="O9" i="2"/>
  <c r="O10" i="2"/>
  <c r="O11" i="2"/>
  <c r="O2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2" i="2"/>
  <c r="I2" i="2" s="1"/>
  <c r="K3" i="1"/>
  <c r="K4" i="1"/>
  <c r="K5" i="1"/>
  <c r="K6" i="1"/>
  <c r="K7" i="1"/>
  <c r="K8" i="1"/>
  <c r="K9" i="1"/>
  <c r="K10" i="1"/>
  <c r="K11" i="1"/>
  <c r="K2" i="1"/>
  <c r="G3" i="1"/>
  <c r="G4" i="1"/>
  <c r="G5" i="1"/>
  <c r="G6" i="1"/>
  <c r="G7" i="1"/>
  <c r="G8" i="1"/>
  <c r="G9" i="1"/>
  <c r="G10" i="1"/>
  <c r="G11" i="1"/>
  <c r="G2" i="1"/>
  <c r="F11" i="1"/>
  <c r="F3" i="1"/>
  <c r="F4" i="1"/>
  <c r="F5" i="1"/>
  <c r="F6" i="1"/>
  <c r="F7" i="1"/>
  <c r="F8" i="1"/>
  <c r="F9" i="1"/>
  <c r="F10" i="1"/>
  <c r="F2" i="1"/>
  <c r="D3" i="1"/>
  <c r="D4" i="1"/>
  <c r="D5" i="1"/>
  <c r="D6" i="1"/>
  <c r="D7" i="1"/>
  <c r="D8" i="1"/>
  <c r="D9" i="1"/>
  <c r="D10" i="1"/>
  <c r="D11" i="1"/>
  <c r="D2" i="1"/>
  <c r="L6" i="2" l="1"/>
  <c r="K6" i="2"/>
  <c r="Q6" i="2" s="1"/>
  <c r="L5" i="2"/>
  <c r="K5" i="2"/>
  <c r="Q5" i="2" s="1"/>
  <c r="L9" i="2"/>
  <c r="K9" i="2"/>
  <c r="Q9" i="2" s="1"/>
  <c r="K8" i="2"/>
  <c r="Q8" i="2" s="1"/>
  <c r="L8" i="2"/>
  <c r="K4" i="2"/>
  <c r="L4" i="2"/>
  <c r="L10" i="2"/>
  <c r="K10" i="2"/>
  <c r="Q10" i="2" s="1"/>
  <c r="K11" i="2"/>
  <c r="N11" i="2"/>
  <c r="L11" i="2"/>
  <c r="K7" i="2"/>
  <c r="L7" i="2"/>
  <c r="K3" i="2"/>
  <c r="Q3" i="2" s="1"/>
  <c r="L3" i="2"/>
  <c r="N2" i="2" l="1"/>
  <c r="Q2" i="2" s="1"/>
  <c r="N9" i="2"/>
  <c r="N3" i="2"/>
  <c r="N8" i="2"/>
  <c r="N6" i="2"/>
  <c r="N5" i="2"/>
  <c r="N10" i="2"/>
  <c r="N7" i="2"/>
  <c r="Q7" i="2" s="1"/>
  <c r="Q11" i="2"/>
  <c r="N4" i="2"/>
  <c r="Q4" i="2" s="1"/>
</calcChain>
</file>

<file path=xl/sharedStrings.xml><?xml version="1.0" encoding="utf-8"?>
<sst xmlns="http://schemas.openxmlformats.org/spreadsheetml/2006/main" count="80" uniqueCount="39">
  <si>
    <t>SKU</t>
  </si>
  <si>
    <t>Last 7 Days</t>
  </si>
  <si>
    <t>OH Inventory</t>
  </si>
  <si>
    <t>WOC</t>
  </si>
  <si>
    <t>Goal WOC</t>
  </si>
  <si>
    <t>Overage / Underage</t>
  </si>
  <si>
    <t>Order / Sell</t>
  </si>
  <si>
    <t>Vendor</t>
  </si>
  <si>
    <t>Order Lead Time</t>
  </si>
  <si>
    <t>Easy / .com</t>
  </si>
  <si>
    <t>Total Lead Time</t>
  </si>
  <si>
    <t>MOQ</t>
  </si>
  <si>
    <t>CLW001</t>
  </si>
  <si>
    <t>Elfin</t>
  </si>
  <si>
    <t>CLW002</t>
  </si>
  <si>
    <t>Honey</t>
  </si>
  <si>
    <t>CLW003</t>
  </si>
  <si>
    <t>CLW004</t>
  </si>
  <si>
    <t>CLW005</t>
  </si>
  <si>
    <t>CLW006</t>
  </si>
  <si>
    <t>CLW007</t>
  </si>
  <si>
    <t>CLW008</t>
  </si>
  <si>
    <t>CLW009</t>
  </si>
  <si>
    <t>CLW010</t>
  </si>
  <si>
    <t>Week 1 Forecast</t>
  </si>
  <si>
    <t>Week 2 Forecast</t>
  </si>
  <si>
    <t>Week 3 Forecast</t>
  </si>
  <si>
    <t>Week 4 Forecast</t>
  </si>
  <si>
    <t>Total 4 Week Demand</t>
  </si>
  <si>
    <t>Avg Weekly Demand</t>
  </si>
  <si>
    <t>Total Lead Time (weeks)</t>
  </si>
  <si>
    <t>Stock at Arrival</t>
  </si>
  <si>
    <t>Ideal Stock at Arrival</t>
  </si>
  <si>
    <t>Order Qty Needed</t>
  </si>
  <si>
    <t>WOC at Arrival</t>
  </si>
  <si>
    <t>Status</t>
  </si>
  <si>
    <t>Week</t>
  </si>
  <si>
    <t>Reorder Point</t>
  </si>
  <si>
    <t>Weeks Until Reorder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</si>
</sst>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topLeftCell="A34" workbookViewId="0">
      <selection activeCell="H47" sqref="H47"/>
    </sheetView>
  </sheetViews>
  <sheetFormatPr defaultRowHeight="14.4" x14ac:dyDescent="0.3"/>
  <sheetData>
    <row r="1" spans="1:11" x14ac:dyDescent="0.3">
      <c r="A1" t="s">
        <v>36</v>
      </c>
      <c r="B1" t="s">
        <v>12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3">
      <c r="A2">
        <v>1</v>
      </c>
      <c r="B2">
        <v>46</v>
      </c>
      <c r="C2">
        <v>16</v>
      </c>
      <c r="D2">
        <v>10</v>
      </c>
      <c r="E2">
        <v>19</v>
      </c>
      <c r="F2">
        <v>115</v>
      </c>
      <c r="G2">
        <v>56</v>
      </c>
      <c r="H2">
        <v>28</v>
      </c>
      <c r="I2">
        <v>39</v>
      </c>
      <c r="J2">
        <v>11</v>
      </c>
      <c r="K2">
        <v>17</v>
      </c>
    </row>
    <row r="3" spans="1:11" x14ac:dyDescent="0.3">
      <c r="A3">
        <v>2</v>
      </c>
      <c r="B3">
        <v>59</v>
      </c>
      <c r="C3">
        <v>21</v>
      </c>
      <c r="D3">
        <v>7</v>
      </c>
      <c r="E3">
        <v>24</v>
      </c>
      <c r="F3">
        <v>98</v>
      </c>
      <c r="G3">
        <v>59</v>
      </c>
      <c r="H3">
        <v>37</v>
      </c>
      <c r="I3">
        <v>35</v>
      </c>
      <c r="J3">
        <v>12</v>
      </c>
      <c r="K3">
        <v>15</v>
      </c>
    </row>
    <row r="4" spans="1:11" x14ac:dyDescent="0.3">
      <c r="A4">
        <v>3</v>
      </c>
      <c r="B4">
        <v>54</v>
      </c>
      <c r="C4">
        <v>22</v>
      </c>
      <c r="D4">
        <v>5</v>
      </c>
      <c r="E4">
        <v>21</v>
      </c>
      <c r="F4">
        <v>105</v>
      </c>
      <c r="G4">
        <v>55</v>
      </c>
      <c r="H4">
        <v>37</v>
      </c>
      <c r="I4">
        <v>29</v>
      </c>
      <c r="J4">
        <v>20</v>
      </c>
      <c r="K4">
        <v>15</v>
      </c>
    </row>
    <row r="5" spans="1:11" x14ac:dyDescent="0.3">
      <c r="A5">
        <v>4</v>
      </c>
      <c r="B5">
        <v>50</v>
      </c>
      <c r="C5">
        <v>27</v>
      </c>
      <c r="D5">
        <v>7</v>
      </c>
      <c r="E5">
        <v>25</v>
      </c>
      <c r="F5">
        <v>82</v>
      </c>
      <c r="G5">
        <v>61</v>
      </c>
      <c r="H5">
        <v>42</v>
      </c>
      <c r="I5">
        <v>25</v>
      </c>
      <c r="J5">
        <v>10</v>
      </c>
      <c r="K5">
        <v>22</v>
      </c>
    </row>
    <row r="6" spans="1:11" x14ac:dyDescent="0.3">
      <c r="A6">
        <v>5</v>
      </c>
      <c r="B6">
        <v>47</v>
      </c>
      <c r="C6">
        <v>22</v>
      </c>
      <c r="D6">
        <v>9</v>
      </c>
      <c r="E6">
        <v>24</v>
      </c>
      <c r="F6">
        <v>98</v>
      </c>
      <c r="G6">
        <v>55</v>
      </c>
      <c r="H6">
        <v>48</v>
      </c>
      <c r="I6">
        <v>32</v>
      </c>
      <c r="J6">
        <v>13</v>
      </c>
      <c r="K6">
        <v>24</v>
      </c>
    </row>
    <row r="7" spans="1:11" x14ac:dyDescent="0.3">
      <c r="A7">
        <v>6</v>
      </c>
      <c r="B7">
        <v>46</v>
      </c>
      <c r="C7">
        <v>25</v>
      </c>
      <c r="D7">
        <v>7</v>
      </c>
      <c r="E7">
        <v>31</v>
      </c>
      <c r="F7">
        <v>99</v>
      </c>
      <c r="G7">
        <v>51</v>
      </c>
      <c r="H7">
        <v>47</v>
      </c>
      <c r="I7">
        <v>36</v>
      </c>
      <c r="J7">
        <v>12</v>
      </c>
      <c r="K7">
        <v>16</v>
      </c>
    </row>
    <row r="8" spans="1:11" x14ac:dyDescent="0.3">
      <c r="A8">
        <v>7</v>
      </c>
      <c r="B8">
        <v>58</v>
      </c>
      <c r="C8">
        <v>22</v>
      </c>
      <c r="D8">
        <v>5</v>
      </c>
      <c r="E8">
        <v>27</v>
      </c>
      <c r="F8">
        <v>111</v>
      </c>
      <c r="G8">
        <v>53</v>
      </c>
      <c r="H8">
        <v>52</v>
      </c>
      <c r="I8">
        <v>36</v>
      </c>
      <c r="J8">
        <v>10</v>
      </c>
      <c r="K8">
        <v>17</v>
      </c>
    </row>
    <row r="9" spans="1:11" x14ac:dyDescent="0.3">
      <c r="A9">
        <v>8</v>
      </c>
      <c r="B9">
        <v>50</v>
      </c>
      <c r="C9">
        <v>31</v>
      </c>
      <c r="D9">
        <v>9</v>
      </c>
      <c r="E9">
        <v>29</v>
      </c>
      <c r="F9">
        <v>86</v>
      </c>
      <c r="G9">
        <v>50</v>
      </c>
      <c r="H9">
        <v>48</v>
      </c>
      <c r="I9">
        <v>29</v>
      </c>
      <c r="J9">
        <v>25</v>
      </c>
      <c r="K9">
        <v>16</v>
      </c>
    </row>
    <row r="10" spans="1:11" x14ac:dyDescent="0.3">
      <c r="A10">
        <v>9</v>
      </c>
      <c r="B10">
        <v>50</v>
      </c>
      <c r="C10">
        <v>24</v>
      </c>
      <c r="D10">
        <v>14</v>
      </c>
      <c r="E10">
        <v>32</v>
      </c>
      <c r="F10">
        <v>112</v>
      </c>
      <c r="G10">
        <v>53</v>
      </c>
      <c r="H10">
        <v>48</v>
      </c>
      <c r="I10">
        <v>31</v>
      </c>
      <c r="J10">
        <v>26</v>
      </c>
      <c r="K10">
        <v>17</v>
      </c>
    </row>
    <row r="11" spans="1:11" x14ac:dyDescent="0.3">
      <c r="A11">
        <v>10</v>
      </c>
      <c r="B11">
        <v>43</v>
      </c>
      <c r="C11">
        <v>33</v>
      </c>
      <c r="D11">
        <v>11</v>
      </c>
      <c r="E11">
        <v>33</v>
      </c>
      <c r="F11">
        <v>119</v>
      </c>
      <c r="G11">
        <v>51</v>
      </c>
      <c r="H11">
        <v>44</v>
      </c>
      <c r="I11">
        <v>28</v>
      </c>
      <c r="J11">
        <v>18</v>
      </c>
      <c r="K11">
        <v>21</v>
      </c>
    </row>
    <row r="12" spans="1:11" x14ac:dyDescent="0.3">
      <c r="A12">
        <v>11</v>
      </c>
      <c r="B12">
        <v>47</v>
      </c>
      <c r="C12">
        <v>28</v>
      </c>
      <c r="D12">
        <v>11</v>
      </c>
      <c r="E12">
        <v>36</v>
      </c>
      <c r="F12">
        <v>118</v>
      </c>
      <c r="G12">
        <v>54</v>
      </c>
      <c r="H12">
        <v>41</v>
      </c>
      <c r="I12">
        <v>30</v>
      </c>
      <c r="J12">
        <v>22</v>
      </c>
      <c r="K12">
        <v>15</v>
      </c>
    </row>
    <row r="13" spans="1:11" x14ac:dyDescent="0.3">
      <c r="A13">
        <v>12</v>
      </c>
      <c r="B13">
        <v>42</v>
      </c>
      <c r="C13">
        <v>33</v>
      </c>
      <c r="D13">
        <v>13</v>
      </c>
      <c r="E13">
        <v>33</v>
      </c>
      <c r="F13">
        <v>97</v>
      </c>
      <c r="G13">
        <v>53</v>
      </c>
      <c r="H13">
        <v>37</v>
      </c>
      <c r="I13">
        <v>37</v>
      </c>
      <c r="J13">
        <v>26</v>
      </c>
      <c r="K13">
        <v>24</v>
      </c>
    </row>
    <row r="14" spans="1:11" x14ac:dyDescent="0.3">
      <c r="A14">
        <v>13</v>
      </c>
      <c r="B14">
        <v>41</v>
      </c>
      <c r="C14">
        <v>33</v>
      </c>
      <c r="D14">
        <v>14</v>
      </c>
      <c r="E14">
        <v>34</v>
      </c>
      <c r="F14">
        <v>119</v>
      </c>
      <c r="G14">
        <v>52</v>
      </c>
      <c r="H14">
        <v>32</v>
      </c>
      <c r="I14">
        <v>44</v>
      </c>
      <c r="J14">
        <v>27</v>
      </c>
      <c r="K14">
        <v>22</v>
      </c>
    </row>
    <row r="15" spans="1:11" x14ac:dyDescent="0.3">
      <c r="A15">
        <v>14</v>
      </c>
      <c r="B15">
        <v>51</v>
      </c>
      <c r="C15">
        <v>36</v>
      </c>
      <c r="D15">
        <v>14</v>
      </c>
      <c r="E15">
        <v>32</v>
      </c>
      <c r="F15">
        <v>80</v>
      </c>
      <c r="G15">
        <v>47</v>
      </c>
      <c r="H15">
        <v>27</v>
      </c>
      <c r="I15">
        <v>39</v>
      </c>
      <c r="J15">
        <v>25</v>
      </c>
      <c r="K15">
        <v>24</v>
      </c>
    </row>
    <row r="16" spans="1:11" x14ac:dyDescent="0.3">
      <c r="A16">
        <v>15</v>
      </c>
      <c r="B16">
        <v>45</v>
      </c>
      <c r="C16">
        <v>36</v>
      </c>
      <c r="D16">
        <v>7</v>
      </c>
      <c r="E16">
        <v>36</v>
      </c>
      <c r="F16">
        <v>90</v>
      </c>
      <c r="G16">
        <v>44</v>
      </c>
      <c r="H16">
        <v>22</v>
      </c>
      <c r="I16">
        <v>27</v>
      </c>
      <c r="J16">
        <v>25</v>
      </c>
      <c r="K16">
        <v>24</v>
      </c>
    </row>
    <row r="17" spans="1:11" x14ac:dyDescent="0.3">
      <c r="A17">
        <v>16</v>
      </c>
      <c r="B17">
        <v>41</v>
      </c>
      <c r="C17">
        <v>34</v>
      </c>
      <c r="D17">
        <v>11</v>
      </c>
      <c r="E17">
        <v>32</v>
      </c>
      <c r="F17">
        <v>107</v>
      </c>
      <c r="G17">
        <v>43</v>
      </c>
      <c r="H17">
        <v>20</v>
      </c>
      <c r="I17">
        <v>32</v>
      </c>
      <c r="J17">
        <v>26</v>
      </c>
      <c r="K17">
        <v>24</v>
      </c>
    </row>
    <row r="18" spans="1:11" x14ac:dyDescent="0.3">
      <c r="A18">
        <v>17</v>
      </c>
      <c r="B18">
        <v>40</v>
      </c>
      <c r="C18">
        <v>32</v>
      </c>
      <c r="D18">
        <v>5</v>
      </c>
      <c r="E18">
        <v>31</v>
      </c>
      <c r="F18">
        <v>104</v>
      </c>
      <c r="G18">
        <v>44</v>
      </c>
      <c r="H18">
        <v>19</v>
      </c>
      <c r="I18">
        <v>44</v>
      </c>
      <c r="J18">
        <v>25</v>
      </c>
      <c r="K18">
        <v>16</v>
      </c>
    </row>
    <row r="19" spans="1:11" x14ac:dyDescent="0.3">
      <c r="A19">
        <v>18</v>
      </c>
      <c r="B19">
        <v>51</v>
      </c>
      <c r="C19">
        <v>36</v>
      </c>
      <c r="D19">
        <v>8</v>
      </c>
      <c r="E19">
        <v>32</v>
      </c>
      <c r="F19">
        <v>102</v>
      </c>
      <c r="G19">
        <v>47</v>
      </c>
      <c r="H19">
        <v>15</v>
      </c>
      <c r="I19">
        <v>40</v>
      </c>
      <c r="J19">
        <v>28</v>
      </c>
      <c r="K19">
        <v>17</v>
      </c>
    </row>
    <row r="20" spans="1:11" x14ac:dyDescent="0.3">
      <c r="A20">
        <v>19</v>
      </c>
      <c r="B20">
        <v>51</v>
      </c>
      <c r="C20">
        <v>40</v>
      </c>
      <c r="D20">
        <v>8</v>
      </c>
      <c r="E20">
        <v>29</v>
      </c>
      <c r="F20">
        <v>110</v>
      </c>
      <c r="G20">
        <v>47</v>
      </c>
      <c r="H20">
        <v>9</v>
      </c>
      <c r="I20">
        <v>37</v>
      </c>
      <c r="J20">
        <v>41</v>
      </c>
      <c r="K20">
        <v>23</v>
      </c>
    </row>
    <row r="21" spans="1:11" x14ac:dyDescent="0.3">
      <c r="A21">
        <v>20</v>
      </c>
      <c r="B21">
        <v>56</v>
      </c>
      <c r="C21">
        <v>43</v>
      </c>
      <c r="D21">
        <v>9</v>
      </c>
      <c r="E21">
        <v>29</v>
      </c>
      <c r="F21">
        <v>109</v>
      </c>
      <c r="G21">
        <v>45</v>
      </c>
      <c r="H21">
        <v>8</v>
      </c>
      <c r="I21">
        <v>42</v>
      </c>
      <c r="J21">
        <v>37</v>
      </c>
      <c r="K21">
        <v>21</v>
      </c>
    </row>
    <row r="22" spans="1:11" x14ac:dyDescent="0.3">
      <c r="A22">
        <v>21</v>
      </c>
      <c r="B22">
        <v>49</v>
      </c>
      <c r="C22">
        <v>43</v>
      </c>
      <c r="D22">
        <v>11</v>
      </c>
      <c r="E22">
        <v>28</v>
      </c>
      <c r="F22">
        <v>114</v>
      </c>
      <c r="G22">
        <v>44</v>
      </c>
      <c r="H22">
        <v>9</v>
      </c>
      <c r="I22">
        <v>34</v>
      </c>
      <c r="J22">
        <v>38</v>
      </c>
      <c r="K22">
        <v>18</v>
      </c>
    </row>
    <row r="23" spans="1:11" x14ac:dyDescent="0.3">
      <c r="A23">
        <v>22</v>
      </c>
      <c r="B23">
        <v>55</v>
      </c>
      <c r="C23">
        <v>44</v>
      </c>
      <c r="D23">
        <v>11</v>
      </c>
      <c r="E23">
        <v>29</v>
      </c>
      <c r="F23">
        <v>86</v>
      </c>
      <c r="G23">
        <v>44</v>
      </c>
      <c r="H23">
        <v>9</v>
      </c>
      <c r="I23">
        <v>43</v>
      </c>
      <c r="J23">
        <v>33</v>
      </c>
      <c r="K23">
        <v>24</v>
      </c>
    </row>
    <row r="24" spans="1:11" x14ac:dyDescent="0.3">
      <c r="A24">
        <v>23</v>
      </c>
      <c r="B24">
        <v>54</v>
      </c>
      <c r="C24">
        <v>37</v>
      </c>
      <c r="D24">
        <v>8</v>
      </c>
      <c r="E24">
        <v>29</v>
      </c>
      <c r="F24">
        <v>95</v>
      </c>
      <c r="G24">
        <v>40</v>
      </c>
      <c r="H24">
        <v>11</v>
      </c>
      <c r="I24">
        <v>41</v>
      </c>
      <c r="J24">
        <v>41</v>
      </c>
      <c r="K24">
        <v>19</v>
      </c>
    </row>
    <row r="25" spans="1:11" x14ac:dyDescent="0.3">
      <c r="A25">
        <v>24</v>
      </c>
      <c r="B25">
        <v>54</v>
      </c>
      <c r="C25">
        <v>46</v>
      </c>
      <c r="D25">
        <v>11</v>
      </c>
      <c r="E25">
        <v>26</v>
      </c>
      <c r="F25">
        <v>105</v>
      </c>
      <c r="G25">
        <v>42</v>
      </c>
      <c r="H25">
        <v>18</v>
      </c>
      <c r="I25">
        <v>43</v>
      </c>
      <c r="J25">
        <v>49</v>
      </c>
      <c r="K25">
        <v>16</v>
      </c>
    </row>
    <row r="26" spans="1:11" x14ac:dyDescent="0.3">
      <c r="A26">
        <v>25</v>
      </c>
      <c r="B26">
        <v>58</v>
      </c>
      <c r="C26">
        <v>45</v>
      </c>
      <c r="D26">
        <v>7</v>
      </c>
      <c r="E26">
        <v>21</v>
      </c>
      <c r="F26">
        <v>81</v>
      </c>
      <c r="G26">
        <v>43</v>
      </c>
      <c r="H26">
        <v>21</v>
      </c>
      <c r="I26">
        <v>29</v>
      </c>
      <c r="J26">
        <v>35</v>
      </c>
      <c r="K26">
        <v>22</v>
      </c>
    </row>
    <row r="27" spans="1:11" x14ac:dyDescent="0.3">
      <c r="A27">
        <v>26</v>
      </c>
      <c r="B27">
        <v>51</v>
      </c>
      <c r="C27">
        <v>48</v>
      </c>
      <c r="D27">
        <v>10</v>
      </c>
      <c r="E27">
        <v>19</v>
      </c>
      <c r="F27">
        <v>80</v>
      </c>
      <c r="G27">
        <v>36</v>
      </c>
      <c r="H27">
        <v>23</v>
      </c>
      <c r="I27">
        <v>33</v>
      </c>
      <c r="J27">
        <v>43</v>
      </c>
      <c r="K27">
        <v>18</v>
      </c>
    </row>
    <row r="28" spans="1:11" x14ac:dyDescent="0.3">
      <c r="A28">
        <v>27</v>
      </c>
      <c r="B28">
        <v>59</v>
      </c>
      <c r="C28">
        <v>47</v>
      </c>
      <c r="D28">
        <v>6</v>
      </c>
      <c r="E28">
        <v>19</v>
      </c>
      <c r="F28">
        <v>91</v>
      </c>
      <c r="G28">
        <v>39</v>
      </c>
      <c r="H28">
        <v>27</v>
      </c>
      <c r="I28">
        <v>36</v>
      </c>
      <c r="J28">
        <v>42</v>
      </c>
      <c r="K28">
        <v>23</v>
      </c>
    </row>
    <row r="29" spans="1:11" x14ac:dyDescent="0.3">
      <c r="A29">
        <v>28</v>
      </c>
      <c r="B29">
        <v>42</v>
      </c>
      <c r="C29">
        <v>41</v>
      </c>
      <c r="D29">
        <v>14</v>
      </c>
      <c r="E29">
        <v>20</v>
      </c>
      <c r="F29">
        <v>84</v>
      </c>
      <c r="G29">
        <v>34</v>
      </c>
      <c r="H29">
        <v>35</v>
      </c>
      <c r="I29">
        <v>25</v>
      </c>
      <c r="J29">
        <v>51</v>
      </c>
      <c r="K29">
        <v>19</v>
      </c>
    </row>
    <row r="30" spans="1:11" x14ac:dyDescent="0.3">
      <c r="A30">
        <v>29</v>
      </c>
      <c r="B30">
        <v>44</v>
      </c>
      <c r="C30">
        <v>49</v>
      </c>
      <c r="D30">
        <v>13</v>
      </c>
      <c r="E30">
        <v>14</v>
      </c>
      <c r="F30">
        <v>116</v>
      </c>
      <c r="G30">
        <v>33</v>
      </c>
      <c r="H30">
        <v>40</v>
      </c>
      <c r="I30">
        <v>25</v>
      </c>
      <c r="J30">
        <v>43</v>
      </c>
      <c r="K30">
        <v>23</v>
      </c>
    </row>
    <row r="31" spans="1:11" x14ac:dyDescent="0.3">
      <c r="A31">
        <v>30</v>
      </c>
      <c r="B31">
        <v>58</v>
      </c>
      <c r="C31">
        <v>50</v>
      </c>
      <c r="D31">
        <v>9</v>
      </c>
      <c r="E31">
        <v>16</v>
      </c>
      <c r="F31">
        <v>111</v>
      </c>
      <c r="G31">
        <v>36</v>
      </c>
      <c r="H31">
        <v>43</v>
      </c>
      <c r="I31">
        <v>39</v>
      </c>
      <c r="J31">
        <v>57</v>
      </c>
      <c r="K31">
        <v>18</v>
      </c>
    </row>
    <row r="32" spans="1:11" x14ac:dyDescent="0.3">
      <c r="A32">
        <v>31</v>
      </c>
      <c r="B32">
        <v>46</v>
      </c>
      <c r="C32">
        <v>46</v>
      </c>
      <c r="D32">
        <v>10</v>
      </c>
      <c r="E32">
        <v>13</v>
      </c>
      <c r="F32">
        <v>88</v>
      </c>
      <c r="G32">
        <v>33</v>
      </c>
      <c r="H32">
        <v>43</v>
      </c>
      <c r="I32">
        <v>26</v>
      </c>
      <c r="J32">
        <v>50</v>
      </c>
      <c r="K32">
        <v>24</v>
      </c>
    </row>
    <row r="33" spans="1:11" x14ac:dyDescent="0.3">
      <c r="A33">
        <v>32</v>
      </c>
      <c r="B33">
        <v>48</v>
      </c>
      <c r="C33">
        <v>45</v>
      </c>
      <c r="D33">
        <v>8</v>
      </c>
      <c r="E33">
        <v>9</v>
      </c>
      <c r="F33">
        <v>114</v>
      </c>
      <c r="G33">
        <v>34</v>
      </c>
      <c r="H33">
        <v>51</v>
      </c>
      <c r="I33">
        <v>40</v>
      </c>
      <c r="J33">
        <v>60</v>
      </c>
      <c r="K33">
        <v>19</v>
      </c>
    </row>
    <row r="34" spans="1:11" x14ac:dyDescent="0.3">
      <c r="A34">
        <v>33</v>
      </c>
      <c r="B34">
        <v>46</v>
      </c>
      <c r="C34">
        <v>53</v>
      </c>
      <c r="D34">
        <v>14</v>
      </c>
      <c r="E34">
        <v>12</v>
      </c>
      <c r="F34">
        <v>98</v>
      </c>
      <c r="G34">
        <v>32</v>
      </c>
      <c r="H34">
        <v>52</v>
      </c>
      <c r="I34">
        <v>32</v>
      </c>
      <c r="J34">
        <v>52</v>
      </c>
      <c r="K34">
        <v>23</v>
      </c>
    </row>
    <row r="35" spans="1:11" x14ac:dyDescent="0.3">
      <c r="A35">
        <v>34</v>
      </c>
      <c r="B35">
        <v>57</v>
      </c>
      <c r="C35">
        <v>49</v>
      </c>
      <c r="D35">
        <v>11</v>
      </c>
      <c r="E35">
        <v>9</v>
      </c>
      <c r="F35">
        <v>95</v>
      </c>
      <c r="G35">
        <v>29</v>
      </c>
      <c r="H35">
        <v>50</v>
      </c>
      <c r="I35">
        <v>37</v>
      </c>
      <c r="J35">
        <v>48</v>
      </c>
      <c r="K35">
        <v>22</v>
      </c>
    </row>
    <row r="36" spans="1:11" x14ac:dyDescent="0.3">
      <c r="A36">
        <v>35</v>
      </c>
      <c r="B36">
        <v>43</v>
      </c>
      <c r="C36">
        <v>50</v>
      </c>
      <c r="D36">
        <v>13</v>
      </c>
      <c r="E36">
        <v>7</v>
      </c>
      <c r="F36">
        <v>82</v>
      </c>
      <c r="G36">
        <v>28</v>
      </c>
      <c r="H36">
        <v>48</v>
      </c>
      <c r="I36">
        <v>25</v>
      </c>
      <c r="J36">
        <v>49</v>
      </c>
      <c r="K36">
        <v>17</v>
      </c>
    </row>
    <row r="37" spans="1:11" x14ac:dyDescent="0.3">
      <c r="A37">
        <v>36</v>
      </c>
      <c r="B37">
        <v>53</v>
      </c>
      <c r="C37">
        <v>49</v>
      </c>
      <c r="D37">
        <v>11</v>
      </c>
      <c r="E37">
        <v>6</v>
      </c>
      <c r="F37">
        <v>99</v>
      </c>
      <c r="G37">
        <v>32</v>
      </c>
      <c r="H37">
        <v>46</v>
      </c>
      <c r="I37">
        <v>40</v>
      </c>
      <c r="J37">
        <v>61</v>
      </c>
      <c r="K37">
        <v>15</v>
      </c>
    </row>
    <row r="38" spans="1:11" x14ac:dyDescent="0.3">
      <c r="A38">
        <v>37</v>
      </c>
      <c r="B38">
        <v>57</v>
      </c>
      <c r="C38">
        <v>54</v>
      </c>
      <c r="D38">
        <v>5</v>
      </c>
      <c r="E38">
        <v>3</v>
      </c>
      <c r="F38">
        <v>103</v>
      </c>
      <c r="G38">
        <v>32</v>
      </c>
      <c r="H38">
        <v>41</v>
      </c>
      <c r="I38">
        <v>31</v>
      </c>
      <c r="J38">
        <v>66</v>
      </c>
      <c r="K38">
        <v>17</v>
      </c>
    </row>
    <row r="39" spans="1:11" x14ac:dyDescent="0.3">
      <c r="A39">
        <v>38</v>
      </c>
      <c r="B39">
        <v>48</v>
      </c>
      <c r="C39">
        <v>60</v>
      </c>
      <c r="D39">
        <v>5</v>
      </c>
      <c r="E39">
        <v>7</v>
      </c>
      <c r="F39">
        <v>112</v>
      </c>
      <c r="G39">
        <v>28</v>
      </c>
      <c r="H39">
        <v>37</v>
      </c>
      <c r="I39">
        <v>29</v>
      </c>
      <c r="J39">
        <v>68</v>
      </c>
      <c r="K39">
        <v>18</v>
      </c>
    </row>
    <row r="40" spans="1:11" x14ac:dyDescent="0.3">
      <c r="A40">
        <v>39</v>
      </c>
      <c r="B40">
        <v>41</v>
      </c>
      <c r="C40">
        <v>58</v>
      </c>
      <c r="D40">
        <v>13</v>
      </c>
      <c r="E40">
        <v>6</v>
      </c>
      <c r="F40">
        <v>103</v>
      </c>
      <c r="G40">
        <v>33</v>
      </c>
      <c r="H40">
        <v>37</v>
      </c>
      <c r="I40">
        <v>27</v>
      </c>
      <c r="J40">
        <v>64</v>
      </c>
      <c r="K40">
        <v>16</v>
      </c>
    </row>
    <row r="41" spans="1:11" x14ac:dyDescent="0.3">
      <c r="A41">
        <v>40</v>
      </c>
      <c r="B41">
        <v>59</v>
      </c>
      <c r="C41">
        <v>62</v>
      </c>
      <c r="D41">
        <v>13</v>
      </c>
      <c r="E41">
        <v>5</v>
      </c>
      <c r="F41">
        <v>90</v>
      </c>
      <c r="G41">
        <v>28</v>
      </c>
      <c r="H41">
        <v>29</v>
      </c>
      <c r="I41">
        <v>36</v>
      </c>
      <c r="J41">
        <v>59</v>
      </c>
      <c r="K41">
        <v>15</v>
      </c>
    </row>
    <row r="42" spans="1:11" x14ac:dyDescent="0.3">
      <c r="A42">
        <v>41</v>
      </c>
      <c r="B42">
        <v>54</v>
      </c>
      <c r="C42">
        <v>62</v>
      </c>
      <c r="D42">
        <v>8</v>
      </c>
      <c r="E42">
        <v>3</v>
      </c>
      <c r="F42">
        <v>87</v>
      </c>
      <c r="G42">
        <v>31</v>
      </c>
      <c r="H42">
        <v>22</v>
      </c>
      <c r="I42">
        <v>40</v>
      </c>
      <c r="J42">
        <v>64</v>
      </c>
      <c r="K42">
        <v>21</v>
      </c>
    </row>
    <row r="43" spans="1:11" x14ac:dyDescent="0.3">
      <c r="A43">
        <v>42</v>
      </c>
      <c r="B43">
        <v>46</v>
      </c>
      <c r="C43">
        <v>61</v>
      </c>
      <c r="D43">
        <v>13</v>
      </c>
      <c r="E43">
        <v>7</v>
      </c>
      <c r="F43">
        <v>115</v>
      </c>
      <c r="G43">
        <v>23</v>
      </c>
      <c r="H43">
        <v>19</v>
      </c>
      <c r="I43">
        <v>43</v>
      </c>
      <c r="J43">
        <v>69</v>
      </c>
      <c r="K43">
        <v>22</v>
      </c>
    </row>
    <row r="44" spans="1:11" x14ac:dyDescent="0.3">
      <c r="A44">
        <v>43</v>
      </c>
      <c r="B44">
        <v>51</v>
      </c>
      <c r="C44">
        <v>64</v>
      </c>
      <c r="D44">
        <v>7</v>
      </c>
      <c r="E44">
        <v>8</v>
      </c>
      <c r="F44">
        <v>117</v>
      </c>
      <c r="G44">
        <v>26</v>
      </c>
      <c r="H44">
        <v>19</v>
      </c>
      <c r="I44">
        <v>29</v>
      </c>
      <c r="J44">
        <v>61</v>
      </c>
      <c r="K44">
        <v>21</v>
      </c>
    </row>
    <row r="45" spans="1:11" x14ac:dyDescent="0.3">
      <c r="A45">
        <v>44</v>
      </c>
      <c r="B45">
        <v>47</v>
      </c>
      <c r="C45">
        <v>64</v>
      </c>
      <c r="D45">
        <v>11</v>
      </c>
      <c r="E45">
        <v>6</v>
      </c>
      <c r="F45">
        <v>119</v>
      </c>
      <c r="G45">
        <v>23</v>
      </c>
      <c r="H45">
        <v>15</v>
      </c>
      <c r="I45">
        <v>38</v>
      </c>
      <c r="J45">
        <v>63</v>
      </c>
      <c r="K45">
        <v>19</v>
      </c>
    </row>
    <row r="46" spans="1:11" x14ac:dyDescent="0.3">
      <c r="A46">
        <v>45</v>
      </c>
      <c r="B46">
        <v>54</v>
      </c>
      <c r="C46">
        <v>59</v>
      </c>
      <c r="D46">
        <v>10</v>
      </c>
      <c r="E46">
        <v>5</v>
      </c>
      <c r="F46">
        <v>99</v>
      </c>
      <c r="G46">
        <v>20</v>
      </c>
      <c r="H46">
        <v>13</v>
      </c>
      <c r="I46">
        <v>29</v>
      </c>
      <c r="J46">
        <v>73</v>
      </c>
      <c r="K46">
        <v>15</v>
      </c>
    </row>
    <row r="47" spans="1:11" x14ac:dyDescent="0.3">
      <c r="A47">
        <v>46</v>
      </c>
      <c r="B47">
        <v>42</v>
      </c>
      <c r="C47">
        <v>59</v>
      </c>
      <c r="D47">
        <v>12</v>
      </c>
      <c r="E47">
        <v>6</v>
      </c>
      <c r="F47">
        <v>114</v>
      </c>
      <c r="G47">
        <v>23</v>
      </c>
      <c r="H47">
        <v>8</v>
      </c>
      <c r="I47">
        <v>39</v>
      </c>
      <c r="J47">
        <v>64</v>
      </c>
      <c r="K47">
        <v>21</v>
      </c>
    </row>
    <row r="48" spans="1:11" x14ac:dyDescent="0.3">
      <c r="A48">
        <v>47</v>
      </c>
      <c r="B48">
        <v>53</v>
      </c>
      <c r="C48">
        <v>66</v>
      </c>
      <c r="D48">
        <v>13</v>
      </c>
      <c r="E48">
        <v>10</v>
      </c>
      <c r="F48">
        <v>104</v>
      </c>
      <c r="G48">
        <v>23</v>
      </c>
      <c r="H48">
        <v>8</v>
      </c>
      <c r="I48">
        <v>41</v>
      </c>
      <c r="J48">
        <v>65</v>
      </c>
      <c r="K48">
        <v>21</v>
      </c>
    </row>
    <row r="49" spans="1:11" x14ac:dyDescent="0.3">
      <c r="A49">
        <v>48</v>
      </c>
      <c r="B49">
        <v>56</v>
      </c>
      <c r="C49">
        <v>67</v>
      </c>
      <c r="D49">
        <v>9</v>
      </c>
      <c r="E49">
        <v>10</v>
      </c>
      <c r="F49">
        <v>114</v>
      </c>
      <c r="G49">
        <v>24</v>
      </c>
      <c r="H49">
        <v>13</v>
      </c>
      <c r="I49">
        <v>38</v>
      </c>
      <c r="J49">
        <v>79</v>
      </c>
      <c r="K49">
        <v>23</v>
      </c>
    </row>
    <row r="50" spans="1:11" x14ac:dyDescent="0.3">
      <c r="A50">
        <v>49</v>
      </c>
      <c r="B50">
        <v>43</v>
      </c>
      <c r="C50">
        <v>69</v>
      </c>
      <c r="D50">
        <v>5</v>
      </c>
      <c r="E50">
        <v>15</v>
      </c>
      <c r="F50">
        <v>104</v>
      </c>
      <c r="G50">
        <v>17</v>
      </c>
      <c r="H50">
        <v>11</v>
      </c>
      <c r="I50">
        <v>44</v>
      </c>
      <c r="J50">
        <v>70</v>
      </c>
      <c r="K50">
        <v>17</v>
      </c>
    </row>
    <row r="51" spans="1:11" x14ac:dyDescent="0.3">
      <c r="A51">
        <v>50</v>
      </c>
      <c r="B51">
        <v>57</v>
      </c>
      <c r="C51">
        <v>67</v>
      </c>
      <c r="D51">
        <v>7</v>
      </c>
      <c r="E51">
        <v>16</v>
      </c>
      <c r="F51">
        <v>108</v>
      </c>
      <c r="G51">
        <v>19</v>
      </c>
      <c r="H51">
        <v>17</v>
      </c>
      <c r="I51">
        <v>29</v>
      </c>
      <c r="J51">
        <v>79</v>
      </c>
      <c r="K51">
        <v>23</v>
      </c>
    </row>
    <row r="52" spans="1:11" x14ac:dyDescent="0.3">
      <c r="A52">
        <v>51</v>
      </c>
      <c r="B52">
        <v>47</v>
      </c>
      <c r="C52">
        <v>66</v>
      </c>
      <c r="D52">
        <v>14</v>
      </c>
      <c r="E52">
        <v>15</v>
      </c>
      <c r="F52">
        <v>97</v>
      </c>
      <c r="G52">
        <v>17</v>
      </c>
      <c r="H52">
        <v>19</v>
      </c>
      <c r="I52">
        <v>36</v>
      </c>
      <c r="J52">
        <v>75</v>
      </c>
      <c r="K52">
        <v>15</v>
      </c>
    </row>
    <row r="53" spans="1:11" x14ac:dyDescent="0.3">
      <c r="A53">
        <v>52</v>
      </c>
      <c r="B53">
        <v>43</v>
      </c>
      <c r="C53">
        <v>72</v>
      </c>
      <c r="D53">
        <v>12</v>
      </c>
      <c r="E53">
        <v>18</v>
      </c>
      <c r="F53">
        <v>97</v>
      </c>
      <c r="G53">
        <v>23</v>
      </c>
      <c r="H53">
        <v>27</v>
      </c>
      <c r="I53">
        <v>40</v>
      </c>
      <c r="J53">
        <v>83</v>
      </c>
      <c r="K53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L4" sqref="L4"/>
    </sheetView>
  </sheetViews>
  <sheetFormatPr defaultRowHeight="14.4" x14ac:dyDescent="0.3"/>
  <cols>
    <col min="2" max="2" width="10.44140625" customWidth="1"/>
    <col min="3" max="3" width="10.6640625" customWidth="1"/>
    <col min="4" max="4" width="12.6640625" customWidth="1"/>
    <col min="5" max="5" width="14.21875" customWidth="1"/>
    <col min="6" max="6" width="18.6640625" customWidth="1"/>
    <col min="7" max="7" width="18.44140625" customWidth="1"/>
    <col min="9" max="9" width="18.77734375" customWidth="1"/>
    <col min="10" max="10" width="15.109375" customWidth="1"/>
    <col min="11" max="11" width="2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43</v>
      </c>
      <c r="C2">
        <v>180</v>
      </c>
      <c r="D2">
        <f>C2/B2</f>
        <v>4.1860465116279073</v>
      </c>
      <c r="E2">
        <v>4</v>
      </c>
      <c r="F2">
        <f>D2-E2</f>
        <v>0.18604651162790731</v>
      </c>
      <c r="G2">
        <f>F2*B2</f>
        <v>8.0000000000000142</v>
      </c>
      <c r="H2" t="s">
        <v>13</v>
      </c>
      <c r="I2">
        <v>4</v>
      </c>
      <c r="J2">
        <v>1</v>
      </c>
      <c r="K2">
        <f>I2+J2</f>
        <v>5</v>
      </c>
      <c r="L2">
        <v>50</v>
      </c>
    </row>
    <row r="3" spans="1:12" x14ac:dyDescent="0.3">
      <c r="A3" t="s">
        <v>14</v>
      </c>
      <c r="B3">
        <v>72</v>
      </c>
      <c r="C3">
        <v>80</v>
      </c>
      <c r="D3">
        <f t="shared" ref="D3:D11" si="0">C3/B3</f>
        <v>1.1111111111111112</v>
      </c>
      <c r="E3">
        <v>4</v>
      </c>
      <c r="F3">
        <f t="shared" ref="F3:F10" si="1">D3-E3</f>
        <v>-2.8888888888888888</v>
      </c>
      <c r="G3">
        <f t="shared" ref="G3:G11" si="2">F3*B3</f>
        <v>-208</v>
      </c>
      <c r="H3" t="s">
        <v>15</v>
      </c>
      <c r="I3">
        <v>6</v>
      </c>
      <c r="J3">
        <v>1</v>
      </c>
      <c r="K3">
        <f t="shared" ref="K3:K11" si="3">I3+J3</f>
        <v>7</v>
      </c>
      <c r="L3">
        <v>50</v>
      </c>
    </row>
    <row r="4" spans="1:12" x14ac:dyDescent="0.3">
      <c r="A4" t="s">
        <v>16</v>
      </c>
      <c r="B4">
        <v>12</v>
      </c>
      <c r="C4">
        <v>300</v>
      </c>
      <c r="D4">
        <f t="shared" si="0"/>
        <v>25</v>
      </c>
      <c r="E4">
        <v>4</v>
      </c>
      <c r="F4">
        <f t="shared" si="1"/>
        <v>21</v>
      </c>
      <c r="G4">
        <f t="shared" si="2"/>
        <v>252</v>
      </c>
      <c r="H4" t="s">
        <v>13</v>
      </c>
      <c r="I4">
        <v>5</v>
      </c>
      <c r="J4">
        <v>1</v>
      </c>
      <c r="K4">
        <f t="shared" si="3"/>
        <v>6</v>
      </c>
      <c r="L4">
        <v>50</v>
      </c>
    </row>
    <row r="5" spans="1:12" x14ac:dyDescent="0.3">
      <c r="A5" t="s">
        <v>17</v>
      </c>
      <c r="B5">
        <v>18</v>
      </c>
      <c r="C5">
        <v>120</v>
      </c>
      <c r="D5">
        <f t="shared" si="0"/>
        <v>6.666666666666667</v>
      </c>
      <c r="E5">
        <v>4</v>
      </c>
      <c r="F5">
        <f t="shared" si="1"/>
        <v>2.666666666666667</v>
      </c>
      <c r="G5">
        <f t="shared" si="2"/>
        <v>48.000000000000007</v>
      </c>
      <c r="H5" t="s">
        <v>15</v>
      </c>
      <c r="I5">
        <v>7</v>
      </c>
      <c r="J5">
        <v>1</v>
      </c>
      <c r="K5">
        <f t="shared" si="3"/>
        <v>8</v>
      </c>
      <c r="L5">
        <v>50</v>
      </c>
    </row>
    <row r="6" spans="1:12" x14ac:dyDescent="0.3">
      <c r="A6" t="s">
        <v>18</v>
      </c>
      <c r="B6">
        <v>97</v>
      </c>
      <c r="C6">
        <v>250</v>
      </c>
      <c r="D6">
        <f t="shared" si="0"/>
        <v>2.5773195876288661</v>
      </c>
      <c r="E6">
        <v>4</v>
      </c>
      <c r="F6">
        <f t="shared" si="1"/>
        <v>-1.4226804123711339</v>
      </c>
      <c r="G6">
        <f t="shared" si="2"/>
        <v>-137.99999999999997</v>
      </c>
      <c r="H6" t="s">
        <v>13</v>
      </c>
      <c r="I6">
        <v>4</v>
      </c>
      <c r="J6">
        <v>1</v>
      </c>
      <c r="K6">
        <f t="shared" si="3"/>
        <v>5</v>
      </c>
      <c r="L6">
        <v>50</v>
      </c>
    </row>
    <row r="7" spans="1:12" x14ac:dyDescent="0.3">
      <c r="A7" t="s">
        <v>19</v>
      </c>
      <c r="B7">
        <v>23</v>
      </c>
      <c r="C7">
        <v>400</v>
      </c>
      <c r="D7">
        <f t="shared" si="0"/>
        <v>17.391304347826086</v>
      </c>
      <c r="E7">
        <v>4</v>
      </c>
      <c r="F7">
        <f t="shared" si="1"/>
        <v>13.391304347826086</v>
      </c>
      <c r="G7">
        <f t="shared" si="2"/>
        <v>308</v>
      </c>
      <c r="H7" t="s">
        <v>15</v>
      </c>
      <c r="I7">
        <v>6</v>
      </c>
      <c r="J7">
        <v>1</v>
      </c>
      <c r="K7">
        <f t="shared" si="3"/>
        <v>7</v>
      </c>
      <c r="L7">
        <v>50</v>
      </c>
    </row>
    <row r="8" spans="1:12" x14ac:dyDescent="0.3">
      <c r="A8" t="s">
        <v>20</v>
      </c>
      <c r="B8">
        <v>27</v>
      </c>
      <c r="C8">
        <v>90</v>
      </c>
      <c r="D8">
        <f t="shared" si="0"/>
        <v>3.3333333333333335</v>
      </c>
      <c r="E8">
        <v>4</v>
      </c>
      <c r="F8">
        <f t="shared" si="1"/>
        <v>-0.66666666666666652</v>
      </c>
      <c r="G8">
        <f t="shared" si="2"/>
        <v>-17.999999999999996</v>
      </c>
      <c r="H8" t="s">
        <v>13</v>
      </c>
      <c r="I8">
        <v>5</v>
      </c>
      <c r="J8">
        <v>1</v>
      </c>
      <c r="K8">
        <f t="shared" si="3"/>
        <v>6</v>
      </c>
      <c r="L8">
        <v>50</v>
      </c>
    </row>
    <row r="9" spans="1:12" x14ac:dyDescent="0.3">
      <c r="A9" t="s">
        <v>21</v>
      </c>
      <c r="B9">
        <v>40</v>
      </c>
      <c r="C9">
        <v>160</v>
      </c>
      <c r="D9">
        <f t="shared" si="0"/>
        <v>4</v>
      </c>
      <c r="E9">
        <v>4</v>
      </c>
      <c r="F9">
        <f t="shared" si="1"/>
        <v>0</v>
      </c>
      <c r="G9">
        <f t="shared" si="2"/>
        <v>0</v>
      </c>
      <c r="H9" t="s">
        <v>15</v>
      </c>
      <c r="I9">
        <v>8</v>
      </c>
      <c r="J9">
        <v>1</v>
      </c>
      <c r="K9">
        <f t="shared" si="3"/>
        <v>9</v>
      </c>
      <c r="L9">
        <v>50</v>
      </c>
    </row>
    <row r="10" spans="1:12" x14ac:dyDescent="0.3">
      <c r="A10" t="s">
        <v>22</v>
      </c>
      <c r="B10">
        <v>83</v>
      </c>
      <c r="C10">
        <v>50</v>
      </c>
      <c r="D10">
        <f t="shared" si="0"/>
        <v>0.60240963855421692</v>
      </c>
      <c r="E10">
        <v>4</v>
      </c>
      <c r="F10">
        <f t="shared" si="1"/>
        <v>-3.3975903614457832</v>
      </c>
      <c r="G10">
        <f t="shared" si="2"/>
        <v>-282</v>
      </c>
      <c r="H10" t="s">
        <v>13</v>
      </c>
      <c r="I10">
        <v>4</v>
      </c>
      <c r="J10">
        <v>1</v>
      </c>
      <c r="K10">
        <f t="shared" si="3"/>
        <v>5</v>
      </c>
      <c r="L10">
        <v>50</v>
      </c>
    </row>
    <row r="11" spans="1:12" x14ac:dyDescent="0.3">
      <c r="A11" t="s">
        <v>23</v>
      </c>
      <c r="B11">
        <v>15</v>
      </c>
      <c r="C11">
        <v>200</v>
      </c>
      <c r="D11">
        <f t="shared" si="0"/>
        <v>13.333333333333334</v>
      </c>
      <c r="E11">
        <v>4</v>
      </c>
      <c r="F11">
        <f>D11-E11</f>
        <v>9.3333333333333339</v>
      </c>
      <c r="G11">
        <f t="shared" si="2"/>
        <v>140</v>
      </c>
      <c r="H11" t="s">
        <v>15</v>
      </c>
      <c r="I11">
        <v>7</v>
      </c>
      <c r="J11">
        <v>1</v>
      </c>
      <c r="K11">
        <f t="shared" si="3"/>
        <v>8</v>
      </c>
      <c r="L11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tabSelected="1" workbookViewId="0">
      <selection activeCell="C4" sqref="C4"/>
    </sheetView>
  </sheetViews>
  <sheetFormatPr defaultRowHeight="14.4" x14ac:dyDescent="0.3"/>
  <cols>
    <col min="3" max="3" width="12" customWidth="1"/>
    <col min="4" max="6" width="14.33203125" customWidth="1"/>
    <col min="7" max="7" width="14.6640625" customWidth="1"/>
    <col min="8" max="8" width="19.21875" customWidth="1"/>
    <col min="9" max="9" width="17.77734375" bestFit="1" customWidth="1"/>
    <col min="10" max="10" width="20.109375" customWidth="1"/>
    <col min="11" max="11" width="13" customWidth="1"/>
    <col min="12" max="12" width="17.5546875" customWidth="1"/>
    <col min="13" max="13" width="15.88671875" customWidth="1"/>
    <col min="14" max="15" width="15.109375" customWidth="1"/>
    <col min="16" max="16" width="19.33203125" customWidth="1"/>
    <col min="17" max="17" width="34.21875" customWidth="1"/>
  </cols>
  <sheetData>
    <row r="1" spans="1:17" x14ac:dyDescent="0.3">
      <c r="A1" t="s">
        <v>0</v>
      </c>
      <c r="B1" t="s">
        <v>7</v>
      </c>
      <c r="C1" t="s">
        <v>2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37</v>
      </c>
      <c r="P1" t="s">
        <v>38</v>
      </c>
      <c r="Q1" t="s">
        <v>35</v>
      </c>
    </row>
    <row r="2" spans="1:17" x14ac:dyDescent="0.3">
      <c r="A2" t="s">
        <v>12</v>
      </c>
      <c r="B2" t="s">
        <v>13</v>
      </c>
      <c r="C2">
        <v>180</v>
      </c>
      <c r="D2">
        <v>50</v>
      </c>
      <c r="E2">
        <v>50</v>
      </c>
      <c r="F2">
        <v>50</v>
      </c>
      <c r="G2">
        <v>50</v>
      </c>
      <c r="H2">
        <f>D2+E2+F2+G2</f>
        <v>200</v>
      </c>
      <c r="I2">
        <f>H2/4</f>
        <v>50</v>
      </c>
      <c r="J2">
        <v>5</v>
      </c>
      <c r="K2">
        <f>C2-(I2*J2)</f>
        <v>-70</v>
      </c>
      <c r="L2">
        <f>I2*4</f>
        <v>200</v>
      </c>
      <c r="M2">
        <f>IF(L2-MAX(0,K2)&gt;0, CEILING(L2-MAX(0,K2),50), 0)</f>
        <v>200</v>
      </c>
      <c r="N2">
        <f>IF(I2&gt;0, K2/I2, 0)</f>
        <v>-1.4</v>
      </c>
      <c r="O2">
        <f>I2*(J2+1)</f>
        <v>300</v>
      </c>
      <c r="P2" t="str">
        <f>IF((C2-O2)/I2&lt;0,"ORDER NOW",ROUND((C2-O2)/I2,1)&amp;" weeks left")</f>
        <v>ORDER NOW</v>
      </c>
      <c r="Q2" t="str">
        <f>IF(K2&lt;=0, "CRITICAL - stockout before order arrives", IF(N2&lt;4, "WARNING - order immediately", IF(N2&gt;6, "OVERSTOCKED - focus on selling down", "HEALTHY")))</f>
        <v>CRITICAL - stockout before order arrives</v>
      </c>
    </row>
    <row r="3" spans="1:17" x14ac:dyDescent="0.3">
      <c r="A3" t="s">
        <v>14</v>
      </c>
      <c r="B3" t="s">
        <v>15</v>
      </c>
      <c r="C3">
        <v>80</v>
      </c>
      <c r="D3">
        <v>71</v>
      </c>
      <c r="E3">
        <v>73</v>
      </c>
      <c r="F3">
        <v>73</v>
      </c>
      <c r="G3">
        <v>75</v>
      </c>
      <c r="H3">
        <f t="shared" ref="H3:H11" si="0">D3+E3+F3+G3</f>
        <v>292</v>
      </c>
      <c r="I3">
        <f t="shared" ref="I3:I11" si="1">H3/4</f>
        <v>73</v>
      </c>
      <c r="J3">
        <v>7</v>
      </c>
      <c r="K3">
        <f t="shared" ref="K3:K11" si="2">C3-(I3*J3)</f>
        <v>-431</v>
      </c>
      <c r="L3">
        <f t="shared" ref="L3:L11" si="3">I3*4</f>
        <v>292</v>
      </c>
      <c r="M3">
        <f t="shared" ref="M3:M11" si="4">IF(L3-MAX(0,K3)&gt;0, CEILING(L3-MAX(0,K3),50), 0)</f>
        <v>300</v>
      </c>
      <c r="N3">
        <f t="shared" ref="N3:N11" si="5">IF(I3&gt;0, K3/I3, 0)</f>
        <v>-5.904109589041096</v>
      </c>
      <c r="O3">
        <f t="shared" ref="O3:O11" si="6">I3*(J3+1)</f>
        <v>584</v>
      </c>
      <c r="P3" t="str">
        <f t="shared" ref="P3:P11" si="7">IF((C3-O3)/I3&lt;0,"ORDER NOW",ROUND((C3-O3)/I3,1)&amp;" weeks left")</f>
        <v>ORDER NOW</v>
      </c>
      <c r="Q3" t="str">
        <f t="shared" ref="Q3:Q11" si="8">IF(K3&lt;=0, "CRITICAL - stockout before order arrives", IF(N3&lt;4, "WARNING - order immediately", IF(N3&gt;6, "OVERSTOCKED - focus on selling down", "HEALTHY")))</f>
        <v>CRITICAL - stockout before order arrives</v>
      </c>
    </row>
    <row r="4" spans="1:17" x14ac:dyDescent="0.3">
      <c r="A4" t="s">
        <v>16</v>
      </c>
      <c r="B4" t="s">
        <v>13</v>
      </c>
      <c r="C4">
        <v>300</v>
      </c>
      <c r="D4">
        <v>10</v>
      </c>
      <c r="E4">
        <v>10</v>
      </c>
      <c r="F4">
        <v>10</v>
      </c>
      <c r="G4">
        <v>10</v>
      </c>
      <c r="H4">
        <f t="shared" si="0"/>
        <v>40</v>
      </c>
      <c r="I4">
        <f t="shared" si="1"/>
        <v>10</v>
      </c>
      <c r="J4">
        <v>6</v>
      </c>
      <c r="K4">
        <f t="shared" si="2"/>
        <v>240</v>
      </c>
      <c r="L4">
        <f t="shared" si="3"/>
        <v>40</v>
      </c>
      <c r="M4">
        <f t="shared" si="4"/>
        <v>0</v>
      </c>
      <c r="N4">
        <f t="shared" si="5"/>
        <v>24</v>
      </c>
      <c r="O4">
        <f t="shared" si="6"/>
        <v>70</v>
      </c>
      <c r="P4" t="str">
        <f t="shared" si="7"/>
        <v>23 weeks left</v>
      </c>
      <c r="Q4" t="str">
        <f t="shared" si="8"/>
        <v>OVERSTOCKED - focus on selling down</v>
      </c>
    </row>
    <row r="5" spans="1:17" x14ac:dyDescent="0.3">
      <c r="A5" t="s">
        <v>17</v>
      </c>
      <c r="B5" t="s">
        <v>15</v>
      </c>
      <c r="C5">
        <v>120</v>
      </c>
      <c r="D5">
        <v>18</v>
      </c>
      <c r="E5">
        <v>18</v>
      </c>
      <c r="F5">
        <v>18</v>
      </c>
      <c r="G5">
        <v>18</v>
      </c>
      <c r="H5">
        <f t="shared" si="0"/>
        <v>72</v>
      </c>
      <c r="I5">
        <f t="shared" si="1"/>
        <v>18</v>
      </c>
      <c r="J5">
        <v>8</v>
      </c>
      <c r="K5">
        <f t="shared" si="2"/>
        <v>-24</v>
      </c>
      <c r="L5">
        <f t="shared" si="3"/>
        <v>72</v>
      </c>
      <c r="M5">
        <f t="shared" si="4"/>
        <v>100</v>
      </c>
      <c r="N5">
        <f t="shared" si="5"/>
        <v>-1.3333333333333333</v>
      </c>
      <c r="O5">
        <f t="shared" si="6"/>
        <v>162</v>
      </c>
      <c r="P5" t="str">
        <f t="shared" si="7"/>
        <v>ORDER NOW</v>
      </c>
      <c r="Q5" t="str">
        <f t="shared" si="8"/>
        <v>CRITICAL - stockout before order arrives</v>
      </c>
    </row>
    <row r="6" spans="1:17" x14ac:dyDescent="0.3">
      <c r="A6" t="s">
        <v>18</v>
      </c>
      <c r="B6" t="s">
        <v>13</v>
      </c>
      <c r="C6">
        <v>250</v>
      </c>
      <c r="D6">
        <v>102</v>
      </c>
      <c r="E6">
        <v>102</v>
      </c>
      <c r="F6">
        <v>102</v>
      </c>
      <c r="G6">
        <v>102</v>
      </c>
      <c r="H6">
        <f t="shared" si="0"/>
        <v>408</v>
      </c>
      <c r="I6">
        <f t="shared" si="1"/>
        <v>102</v>
      </c>
      <c r="J6">
        <v>5</v>
      </c>
      <c r="K6">
        <f t="shared" si="2"/>
        <v>-260</v>
      </c>
      <c r="L6">
        <f t="shared" si="3"/>
        <v>408</v>
      </c>
      <c r="M6">
        <f t="shared" si="4"/>
        <v>450</v>
      </c>
      <c r="N6">
        <f t="shared" si="5"/>
        <v>-2.5490196078431371</v>
      </c>
      <c r="O6">
        <f t="shared" si="6"/>
        <v>612</v>
      </c>
      <c r="P6" t="str">
        <f t="shared" si="7"/>
        <v>ORDER NOW</v>
      </c>
      <c r="Q6" t="str">
        <f t="shared" si="8"/>
        <v>CRITICAL - stockout before order arrives</v>
      </c>
    </row>
    <row r="7" spans="1:17" x14ac:dyDescent="0.3">
      <c r="A7" t="s">
        <v>19</v>
      </c>
      <c r="B7" t="s">
        <v>15</v>
      </c>
      <c r="C7">
        <v>400</v>
      </c>
      <c r="D7">
        <v>19</v>
      </c>
      <c r="E7">
        <v>20</v>
      </c>
      <c r="F7">
        <v>18</v>
      </c>
      <c r="G7">
        <v>18</v>
      </c>
      <c r="H7">
        <f t="shared" si="0"/>
        <v>75</v>
      </c>
      <c r="I7">
        <f t="shared" si="1"/>
        <v>18.75</v>
      </c>
      <c r="J7">
        <v>7</v>
      </c>
      <c r="K7">
        <f t="shared" si="2"/>
        <v>268.75</v>
      </c>
      <c r="L7">
        <f t="shared" si="3"/>
        <v>75</v>
      </c>
      <c r="M7">
        <f t="shared" si="4"/>
        <v>0</v>
      </c>
      <c r="N7">
        <f t="shared" si="5"/>
        <v>14.333333333333334</v>
      </c>
      <c r="O7">
        <f t="shared" si="6"/>
        <v>150</v>
      </c>
      <c r="P7" t="str">
        <f t="shared" si="7"/>
        <v>13.3 weeks left</v>
      </c>
      <c r="Q7" t="str">
        <f t="shared" si="8"/>
        <v>OVERSTOCKED - focus on selling down</v>
      </c>
    </row>
    <row r="8" spans="1:17" x14ac:dyDescent="0.3">
      <c r="A8" t="s">
        <v>20</v>
      </c>
      <c r="B8" t="s">
        <v>13</v>
      </c>
      <c r="C8">
        <v>90</v>
      </c>
      <c r="D8">
        <v>31</v>
      </c>
      <c r="E8">
        <v>35</v>
      </c>
      <c r="F8">
        <v>40</v>
      </c>
      <c r="G8">
        <v>43</v>
      </c>
      <c r="H8">
        <f t="shared" si="0"/>
        <v>149</v>
      </c>
      <c r="I8">
        <f t="shared" si="1"/>
        <v>37.25</v>
      </c>
      <c r="J8">
        <v>6</v>
      </c>
      <c r="K8">
        <f t="shared" si="2"/>
        <v>-133.5</v>
      </c>
      <c r="L8">
        <f t="shared" si="3"/>
        <v>149</v>
      </c>
      <c r="M8">
        <f t="shared" si="4"/>
        <v>150</v>
      </c>
      <c r="N8">
        <f t="shared" si="5"/>
        <v>-3.5838926174496644</v>
      </c>
      <c r="O8">
        <f t="shared" si="6"/>
        <v>260.75</v>
      </c>
      <c r="P8" t="str">
        <f t="shared" si="7"/>
        <v>ORDER NOW</v>
      </c>
      <c r="Q8" t="str">
        <f t="shared" si="8"/>
        <v>CRITICAL - stockout before order arrives</v>
      </c>
    </row>
    <row r="9" spans="1:17" x14ac:dyDescent="0.3">
      <c r="A9" t="s">
        <v>21</v>
      </c>
      <c r="B9" t="s">
        <v>15</v>
      </c>
      <c r="C9">
        <v>160</v>
      </c>
      <c r="D9">
        <v>35</v>
      </c>
      <c r="E9">
        <v>35</v>
      </c>
      <c r="F9">
        <v>35</v>
      </c>
      <c r="G9">
        <v>35</v>
      </c>
      <c r="H9">
        <f t="shared" si="0"/>
        <v>140</v>
      </c>
      <c r="I9">
        <f t="shared" si="1"/>
        <v>35</v>
      </c>
      <c r="J9">
        <v>9</v>
      </c>
      <c r="K9">
        <f t="shared" si="2"/>
        <v>-155</v>
      </c>
      <c r="L9">
        <f t="shared" si="3"/>
        <v>140</v>
      </c>
      <c r="M9">
        <f t="shared" si="4"/>
        <v>150</v>
      </c>
      <c r="N9">
        <f t="shared" si="5"/>
        <v>-4.4285714285714288</v>
      </c>
      <c r="O9">
        <f t="shared" si="6"/>
        <v>350</v>
      </c>
      <c r="P9" t="str">
        <f t="shared" si="7"/>
        <v>ORDER NOW</v>
      </c>
      <c r="Q9" t="str">
        <f t="shared" si="8"/>
        <v>CRITICAL - stockout before order arrives</v>
      </c>
    </row>
    <row r="10" spans="1:17" x14ac:dyDescent="0.3">
      <c r="A10" t="s">
        <v>22</v>
      </c>
      <c r="B10" t="s">
        <v>13</v>
      </c>
      <c r="C10">
        <v>50</v>
      </c>
      <c r="D10">
        <v>80</v>
      </c>
      <c r="E10">
        <v>83</v>
      </c>
      <c r="F10">
        <v>83</v>
      </c>
      <c r="G10">
        <v>86</v>
      </c>
      <c r="H10">
        <f t="shared" si="0"/>
        <v>332</v>
      </c>
      <c r="I10">
        <f t="shared" si="1"/>
        <v>83</v>
      </c>
      <c r="J10">
        <v>5</v>
      </c>
      <c r="K10">
        <f t="shared" si="2"/>
        <v>-365</v>
      </c>
      <c r="L10">
        <f t="shared" si="3"/>
        <v>332</v>
      </c>
      <c r="M10">
        <f t="shared" si="4"/>
        <v>350</v>
      </c>
      <c r="N10">
        <f t="shared" si="5"/>
        <v>-4.3975903614457827</v>
      </c>
      <c r="O10">
        <f t="shared" si="6"/>
        <v>498</v>
      </c>
      <c r="P10" t="str">
        <f t="shared" si="7"/>
        <v>ORDER NOW</v>
      </c>
      <c r="Q10" t="str">
        <f t="shared" si="8"/>
        <v>CRITICAL - stockout before order arrives</v>
      </c>
    </row>
    <row r="11" spans="1:17" x14ac:dyDescent="0.3">
      <c r="A11" t="s">
        <v>23</v>
      </c>
      <c r="B11" t="s">
        <v>15</v>
      </c>
      <c r="C11">
        <v>200</v>
      </c>
      <c r="D11">
        <v>19</v>
      </c>
      <c r="E11">
        <v>19</v>
      </c>
      <c r="F11">
        <v>19</v>
      </c>
      <c r="G11">
        <v>19</v>
      </c>
      <c r="H11">
        <f t="shared" si="0"/>
        <v>76</v>
      </c>
      <c r="I11">
        <f t="shared" si="1"/>
        <v>19</v>
      </c>
      <c r="J11">
        <v>8</v>
      </c>
      <c r="K11">
        <f t="shared" si="2"/>
        <v>48</v>
      </c>
      <c r="L11">
        <f t="shared" si="3"/>
        <v>76</v>
      </c>
      <c r="M11">
        <f t="shared" si="4"/>
        <v>50</v>
      </c>
      <c r="N11">
        <f t="shared" si="5"/>
        <v>2.5263157894736841</v>
      </c>
      <c r="O11">
        <f t="shared" si="6"/>
        <v>171</v>
      </c>
      <c r="P11" t="str">
        <f t="shared" si="7"/>
        <v>1.5 weeks left</v>
      </c>
      <c r="Q11" t="str">
        <f t="shared" si="8"/>
        <v>WARNING - order immediately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Sales</vt:lpstr>
      <vt:lpstr>Inventory Status</vt:lpstr>
      <vt:lpstr>Demand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sharma</cp:lastModifiedBy>
  <dcterms:created xsi:type="dcterms:W3CDTF">2026-05-30T10:06:03Z</dcterms:created>
  <dcterms:modified xsi:type="dcterms:W3CDTF">2026-06-01T11:44:45Z</dcterms:modified>
</cp:coreProperties>
</file>